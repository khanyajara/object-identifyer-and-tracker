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c70c0c037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chedule" sheetId="1" r:id="Rd2fa4ef769754d18"/>
    <x:sheet xmlns:r="http://schemas.openxmlformats.org/officeDocument/2006/relationships" name="Planning Notes" sheetId="2" r:id="Re92bb9fb956e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74C6A"/>
      <x:name val="Carlito"/>
    </x:font>
    <x:font>
      <x:b/>
      <x:sz val="11"/>
      <x:color rgb="FFFFFFFF"/>
      <x:name val="Carlito"/>
    </x:font>
    <x:font>
      <x:b/>
      <x:sz val="11"/>
      <x:color rgb="FF1D4E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5"/>
      </x:patternFill>
    </x:fill>
    <x:fill>
      <x:patternFill patternType="solid">
        <x:fgColor rgb="FF1F6D8A"/>
      </x:patternFill>
    </x:fill>
    <x:fill>
      <x:patternFill patternType="solid">
        <x:fgColor rgb="FFE8F1E8"/>
      </x:patternFill>
    </x:fill>
    <x:fill>
      <x:patternFill patternType="solid">
        <x:fgColor rgb="FFF5FAF5"/>
      </x:patternFill>
    </x:fill>
  </x:fills>
  <x:borders count="26">
    <x:border/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left style="thin">
        <x:color rgb="FF8AA7B8"/>
      </x:left>
      <x:top style="thin">
        <x:color rgb="FF8AA7B8"/>
      </x:top>
    </x:border>
    <x:border>
      <x:top style="thin">
        <x:color rgb="FF8AA7B8"/>
      </x:top>
    </x:border>
    <x:border>
      <x:right style="thin">
        <x:color rgb="FF8AA7B8"/>
      </x:right>
      <x:top style="thin">
        <x:color rgb="FF8AA7B8"/>
      </x:top>
    </x:border>
    <x:border>
      <x:left style="thin">
        <x:color rgb="FF8AA7B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8AA7B8"/>
      </x:right>
      <x:bottom style="thin">
        <x:color rgb="FFD8E1E8"/>
      </x:bottom>
    </x:border>
    <x:border>
      <x:left style="thin">
        <x:color rgb="FF8AA7B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8AA7B8"/>
      </x:right>
      <x:top style="thin">
        <x:color rgb="FFD8E1E8"/>
      </x:top>
      <x:bottom style="thin">
        <x:color rgb="FFD8E1E8"/>
      </x:bottom>
    </x:border>
    <x:border>
      <x:left style="thin">
        <x:color rgb="FF8AA7B8"/>
      </x:left>
      <x:right style="thin">
        <x:color rgb="FFD8E1E8"/>
      </x:right>
      <x:top style="thin">
        <x:color rgb="FFD8E1E8"/>
      </x:top>
      <x:bottom style="thin">
        <x:color rgb="FF8AA7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8AA7B8"/>
      </x:bottom>
    </x:border>
    <x:border>
      <x:left style="thin">
        <x:color rgb="FFD8E1E8"/>
      </x:left>
      <x:right style="thin">
        <x:color rgb="FF8AA7B8"/>
      </x:right>
      <x:top style="thin">
        <x:color rgb="FFD8E1E8"/>
      </x:top>
      <x:bottom style="thin">
        <x:color rgb="FF8AA7B8"/>
      </x:bottom>
    </x:border>
    <x:border>
      <x:left style="thin">
        <x:color rgb="FFA8C4AF"/>
      </x:left>
      <x:top style="thin">
        <x:color rgb="FFA8C4AF"/>
      </x:top>
    </x:border>
    <x:border>
      <x:top style="thin">
        <x:color rgb="FFA8C4AF"/>
      </x:top>
    </x:border>
    <x:border>
      <x:right style="thin">
        <x:color rgb="FFA8C4AF"/>
      </x:right>
      <x:top style="thin">
        <x:color rgb="FFA8C4AF"/>
      </x:top>
    </x:border>
    <x:border>
      <x:left style="thin">
        <x:color rgb="FFA8C4AF"/>
      </x:left>
      <x:bottom style="thin">
        <x:color rgb="FFA8C4AF"/>
      </x:bottom>
    </x:border>
    <x:border>
      <x:bottom style="thin">
        <x:color rgb="FFA8C4AF"/>
      </x:bottom>
    </x:border>
    <x:border>
      <x:right style="thin">
        <x:color rgb="FFA8C4AF"/>
      </x:right>
      <x:bottom style="thin">
        <x:color rgb="FFA8C4AF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0" fillId="6" borderId="23" xfId="0" applyNumberFormat="1" applyFont="1" applyFill="1" applyBorder="1" applyAlignment="1">
      <x:alignment horizontal="center"/>
    </x:xf>
    <x:xf numFmtId="0" fontId="0" fillId="6" borderId="24" xfId="0" applyNumberFormat="1" applyFont="1" applyFill="1" applyBorder="1" applyAlignment="1">
      <x:alignment horizontal="center"/>
    </x:xf>
    <x:xf numFmtId="0" fontId="0" fillId="6" borderId="25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6" borderId="23" xfId="0" applyNumberFormat="1" applyFont="1" applyFill="1" applyBorder="1" applyAlignment="1">
      <x:alignment horizontal="center"/>
    </x:xf>
    <x:xf numFmtId="200" fontId="0" fillId="6" borderId="24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6" borderId="24" xfId="0" applyNumberFormat="1" applyFont="1" applyFill="1" applyBorder="1" applyAlignment="1">
      <x:alignment horizontal="center"/>
    </x:xf>
    <x:xf numFmtId="201" fontId="0" fillId="6" borderId="25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215E21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color rgb="FF485A66"/>
      </x:font>
      <x:fill>
        <x:patternFill>
          <x:bgColor rgb="FFE7EEF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0b1da9ea14edf" /><Relationship Type="http://schemas.openxmlformats.org/officeDocument/2006/relationships/theme" Target="/xl/theme/theme1.xml" Id="R2f62fa7745894a24" /><Relationship Type="http://schemas.openxmlformats.org/officeDocument/2006/relationships/sharedStrings" Target="/xl/sharedStrings.xml" Id="R4d467504b1ba4c94" /><Relationship Type="http://schemas.openxmlformats.org/officeDocument/2006/relationships/worksheet" Target="/xl/worksheets/sheet1.xml" Id="Rd2fa4ef769754d18" /><Relationship Type="http://schemas.openxmlformats.org/officeDocument/2006/relationships/worksheet" Target="/xl/worksheets/sheet2.xml" Id="Re92bb9fb956e4be4" /></Relationships>
</file>

<file path=xl/tables/table1.xml><?xml version="1.0" encoding="utf-8"?>
<x:table xmlns:x="http://schemas.openxmlformats.org/spreadsheetml/2006/main" id="1" name="ProjectScheduleTable" displayName="ProjectScheduleTable" ref="A4:H16" headerRowCount="1" totalsRowCount="0" totalsRowShown="0">
  <x:tableColumns count="8">
    <x:tableColumn id="1" name="Phase"/>
    <x:tableColumn id="2" name="Milestone / Workstream"/>
    <x:tableColumn id="3" name="Scope"/>
    <x:tableColumn id="4" name="Start Date"/>
    <x:tableColumn id="5" name="Target Completion"/>
    <x:tableColumn id="6" name="Duration (days)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0c35410ad04f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50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24" hidden="0" customWidth="1"/>
  </x:cols>
  <x:sheetData>
    <x:row r="1" ht="28" customHeight="1">
      <x:c r="A1" s="4" t="str">
        <x:v>Roadwatch Vision Recorder — Project Timeline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Accelerated three-month schedule; planning baseline: 14 July 2026 | target completion: 14 October 2026</x:v>
      </x:c>
      <x:c r="B2" s="7"/>
      <x:c r="C2" s="7"/>
      <x:c r="D2" s="7"/>
      <x:c r="E2" s="7"/>
      <x:c r="F2" s="7"/>
      <x:c r="G2" s="7"/>
      <x:c r="H2" s="7"/>
    </x:row>
    <x:row r="4" ht="34" customHeight="1">
      <x:c r="A4" s="24" t="str">
        <x:v>Phase</x:v>
      </x:c>
      <x:c r="B4" s="25" t="str">
        <x:v>Milestone / Workstream</x:v>
      </x:c>
      <x:c r="C4" s="25" t="str">
        <x:v>Scope</x:v>
      </x:c>
      <x:c r="D4" s="25" t="str">
        <x:v>Start Date</x:v>
      </x:c>
      <x:c r="E4" s="25" t="str">
        <x:v>Target Completion</x:v>
      </x:c>
      <x:c r="F4" s="25" t="str">
        <x:v>Duration (days)</x:v>
      </x:c>
      <x:c r="G4" s="25" t="str">
        <x:v>Status</x:v>
      </x:c>
      <x:c r="H4" s="26" t="str">
        <x:v>Notes</x:v>
      </x:c>
    </x:row>
    <x:row r="5" ht="43" customHeight="1">
      <x:c r="A5" s="56" t="n">
        <x:v>1</x:v>
      </x:c>
      <x:c r="B5" s="16" t="str">
        <x:v>Project foundation &amp; initial prototype</x:v>
      </x:c>
      <x:c r="C5" s="16" t="str">
        <x:v>Set up object detection, tracking, video I/O, and the initial repository.</x:v>
      </x:c>
      <x:c r="D5" s="59" t="n">
        <x:v>45857</x:v>
      </x:c>
      <x:c r="E5" s="59" t="n">
        <x:v>45891</x:v>
      </x:c>
      <x:c r="F5" s="60" t="n">
        <x:f>E5-D5+1</x:f>
        <x:v>35</x:v>
      </x:c>
      <x:c r="G5" s="61" t="str">
        <x:v>Complete</x:v>
      </x:c>
      <x:c r="H5" s="28" t="str">
        <x:v>Historical milestone</x:v>
      </x:c>
    </x:row>
    <x:row r="6" ht="43" customHeight="1">
      <x:c r="A6" s="57" t="n">
        <x:v>2</x:v>
      </x:c>
      <x:c r="B6" s="19" t="str">
        <x:v>Core recorder &amp; detection pipeline</x:v>
      </x:c>
      <x:c r="C6" s="19" t="str">
        <x:v>Build webcam/dashcam recording, YOLO detection, movement analysis, OCR, and saved-video workflow.</x:v>
      </x:c>
      <x:c r="D6" s="62" t="n">
        <x:v>45892</x:v>
      </x:c>
      <x:c r="E6" s="62" t="n">
        <x:v>46153</x:v>
      </x:c>
      <x:c r="F6" s="63" t="n">
        <x:f>E6-D6+1</x:f>
        <x:v>262</x:v>
      </x:c>
      <x:c r="G6" s="64" t="str">
        <x:v>Complete</x:v>
      </x:c>
      <x:c r="H6" s="30" t="str">
        <x:v>Historical milestone</x:v>
      </x:c>
    </x:row>
    <x:row r="7" ht="43" customHeight="1">
      <x:c r="A7" s="57" t="n">
        <x:v>3</x:v>
      </x:c>
      <x:c r="B7" s="19" t="str">
        <x:v>Dashboard &amp; service integration</x:v>
      </x:c>
      <x:c r="C7" s="19" t="str">
        <x:v>Develop Streamlit dashboard plus incident, vehicle, reporting, storage, and notification services.</x:v>
      </x:c>
      <x:c r="D7" s="62" t="n">
        <x:v>46154</x:v>
      </x:c>
      <x:c r="E7" s="62" t="n">
        <x:v>46183</x:v>
      </x:c>
      <x:c r="F7" s="63" t="n">
        <x:f>E7-D7+1</x:f>
        <x:v>30</x:v>
      </x:c>
      <x:c r="G7" s="64" t="str">
        <x:v>Complete</x:v>
      </x:c>
      <x:c r="H7" s="30" t="str">
        <x:v>Historical milestone</x:v>
      </x:c>
    </x:row>
    <x:row r="8" ht="43" customHeight="1">
      <x:c r="A8" s="57" t="n">
        <x:v>4</x:v>
      </x:c>
      <x:c r="B8" s="19" t="str">
        <x:v>Video compatibility &amp; GPS tracking</x:v>
      </x:c>
      <x:c r="C8" s="19" t="str">
        <x:v>Integrate MoviePy/FFmpeg, improve MP4/WebM handling, and enable active location tracking.</x:v>
      </x:c>
      <x:c r="D8" s="62" t="n">
        <x:v>46184</x:v>
      </x:c>
      <x:c r="E8" s="62" t="n">
        <x:v>46209</x:v>
      </x:c>
      <x:c r="F8" s="63" t="n">
        <x:f>E8-D8+1</x:f>
        <x:v>26</x:v>
      </x:c>
      <x:c r="G8" s="64" t="str">
        <x:v>Complete</x:v>
      </x:c>
      <x:c r="H8" s="30" t="str">
        <x:v>Historical milestone</x:v>
      </x:c>
    </x:row>
    <x:row r="9" ht="43" customHeight="1">
      <x:c r="A9" s="57" t="n">
        <x:v>5</x:v>
      </x:c>
      <x:c r="B9" s="19" t="str">
        <x:v>System &amp; mobile testing</x:v>
      </x:c>
      <x:c r="C9" s="19" t="str">
        <x:v>Complete vehicle/mobile testing, webcam recorder reliability checks, and media persistence tests.</x:v>
      </x:c>
      <x:c r="D9" s="62" t="n">
        <x:v>46210</x:v>
      </x:c>
      <x:c r="E9" s="62" t="n">
        <x:v>46227</x:v>
      </x:c>
      <x:c r="F9" s="63" t="n">
        <x:f>E9-D9+1</x:f>
        <x:v>18</x:v>
      </x:c>
      <x:c r="G9" s="64" t="str">
        <x:v>In Progress</x:v>
      </x:c>
      <x:c r="H9" s="30" t="str">
        <x:v>Current workstream — finish by 24 Jul</x:v>
      </x:c>
    </x:row>
    <x:row r="10" ht="43" customHeight="1">
      <x:c r="A10" s="57" t="n">
        <x:v>6</x:v>
      </x:c>
      <x:c r="B10" s="19" t="str">
        <x:v>Defect resolution &amp; performance tuning</x:v>
      </x:c>
      <x:c r="C10" s="19" t="str">
        <x:v>Resolve test findings; tune recording stability, inference speed, playback, and location accuracy.</x:v>
      </x:c>
      <x:c r="D10" s="62" t="n">
        <x:v>46228</x:v>
      </x:c>
      <x:c r="E10" s="62" t="n">
        <x:v>46241</x:v>
      </x:c>
      <x:c r="F10" s="63" t="n">
        <x:f>E10-D10+1</x:f>
        <x:v>14</x:v>
      </x:c>
      <x:c r="G10" s="64" t="str">
        <x:v>Not Started</x:v>
      </x:c>
      <x:c r="H10" s="30" t="str">
        <x:v>Depends on Phase 5</x:v>
      </x:c>
    </x:row>
    <x:row r="11" ht="43" customHeight="1">
      <x:c r="A11" s="57" t="n">
        <x:v>7</x:v>
      </x:c>
      <x:c r="B11" s="19" t="str">
        <x:v>Feature hardening</x:v>
      </x:c>
      <x:c r="C11" s="19" t="str">
        <x:v>Finalize critical incidents, stolen-vehicle checks, analytics, exports, and error handling.</x:v>
      </x:c>
      <x:c r="D11" s="62" t="n">
        <x:v>46242</x:v>
      </x:c>
      <x:c r="E11" s="62" t="n">
        <x:v>46255</x:v>
      </x:c>
      <x:c r="F11" s="63" t="n">
        <x:f>E11-D11+1</x:f>
        <x:v>14</x:v>
      </x:c>
      <x:c r="G11" s="64" t="str">
        <x:v>Not Started</x:v>
      </x:c>
      <x:c r="H11" s="30" t="str">
        <x:v>Critical features only</x:v>
      </x:c>
    </x:row>
    <x:row r="12" ht="43" customHeight="1">
      <x:c r="A12" s="57" t="n">
        <x:v>8</x:v>
      </x:c>
      <x:c r="B12" s="19" t="str">
        <x:v>Security &amp; data review</x:v>
      </x:c>
      <x:c r="C12" s="19" t="str">
        <x:v>Review authentication, secrets, access controls, retention, backup, and privacy settings.</x:v>
      </x:c>
      <x:c r="D12" s="62" t="n">
        <x:v>46256</x:v>
      </x:c>
      <x:c r="E12" s="62" t="n">
        <x:v>46262</x:v>
      </x:c>
      <x:c r="F12" s="63" t="n">
        <x:f>E12-D12+1</x:f>
        <x:v>7</x:v>
      </x:c>
      <x:c r="G12" s="64" t="str">
        <x:v>Not Started</x:v>
      </x:c>
      <x:c r="H12" s="30" t="str">
        <x:v>Run in parallel where possible</x:v>
      </x:c>
    </x:row>
    <x:row r="13" ht="43" customHeight="1">
      <x:c r="A13" s="57" t="n">
        <x:v>9</x:v>
      </x:c>
      <x:c r="B13" s="19" t="str">
        <x:v>User acceptance testing</x:v>
      </x:c>
      <x:c r="C13" s="19" t="str">
        <x:v>Run end-to-end driving scenarios, capture acceptance feedback, and fix release-blocking issues.</x:v>
      </x:c>
      <x:c r="D13" s="62" t="n">
        <x:v>46263</x:v>
      </x:c>
      <x:c r="E13" s="62" t="n">
        <x:v>46276</x:v>
      </x:c>
      <x:c r="F13" s="63" t="n">
        <x:f>E13-D13+1</x:f>
        <x:v>14</x:v>
      </x:c>
      <x:c r="G13" s="64" t="str">
        <x:v>Not Started</x:v>
      </x:c>
      <x:c r="H13" s="30" t="str">
        <x:v>Depends on Phases 7–8</x:v>
      </x:c>
    </x:row>
    <x:row r="14" ht="43" customHeight="1">
      <x:c r="A14" s="57" t="n">
        <x:v>10</x:v>
      </x:c>
      <x:c r="B14" s="19" t="str">
        <x:v>Release preparation</x:v>
      </x:c>
      <x:c r="C14" s="19" t="str">
        <x:v>Complete essential documentation, installation steps, release notes, and deployment checklist.</x:v>
      </x:c>
      <x:c r="D14" s="62" t="n">
        <x:v>46277</x:v>
      </x:c>
      <x:c r="E14" s="62" t="n">
        <x:v>46288</x:v>
      </x:c>
      <x:c r="F14" s="63" t="n">
        <x:f>E14-D14+1</x:f>
        <x:v>12</x:v>
      </x:c>
      <x:c r="G14" s="64" t="str">
        <x:v>Not Started</x:v>
      </x:c>
      <x:c r="H14" s="30" t="str">
        <x:v>Keep documentation release-focused</x:v>
      </x:c>
    </x:row>
    <x:row r="15" ht="43" customHeight="1">
      <x:c r="A15" s="57" t="n">
        <x:v>11</x:v>
      </x:c>
      <x:c r="B15" s="19" t="str">
        <x:v>Pilot deployment &amp; monitoring</x:v>
      </x:c>
      <x:c r="C15" s="19" t="str">
        <x:v>Deploy a controlled pilot, monitor priority errors, and apply only release-blocking fixes.</x:v>
      </x:c>
      <x:c r="D15" s="62" t="n">
        <x:v>46289</x:v>
      </x:c>
      <x:c r="E15" s="62" t="n">
        <x:v>46302</x:v>
      </x:c>
      <x:c r="F15" s="63" t="n">
        <x:f>E15-D15+1</x:f>
        <x:v>14</x:v>
      </x:c>
      <x:c r="G15" s="64" t="str">
        <x:v>Not Started</x:v>
      </x:c>
      <x:c r="H15" s="30" t="str">
        <x:v>Depends on Phase 10</x:v>
      </x:c>
    </x:row>
    <x:row r="16" ht="43" customHeight="1">
      <x:c r="A16" s="58" t="n">
        <x:v>12</x:v>
      </x:c>
      <x:c r="B16" s="32" t="str">
        <x:v>Production release &amp; closeout</x:v>
      </x:c>
      <x:c r="C16" s="32" t="str">
        <x:v>Publish production release, hand over essential documentation, and close the project.</x:v>
      </x:c>
      <x:c r="D16" s="65" t="n">
        <x:v>46303</x:v>
      </x:c>
      <x:c r="E16" s="65" t="n">
        <x:v>46309</x:v>
      </x:c>
      <x:c r="F16" s="66" t="n">
        <x:f>E16-D16+1</x:f>
        <x:v>7</x:v>
      </x:c>
      <x:c r="G16" s="67" t="str">
        <x:v>Not Started</x:v>
      </x:c>
      <x:c r="H16" s="33" t="str">
        <x:v>Hard deadline: 14 Oct 2026</x:v>
      </x:c>
    </x:row>
    <x:row r="18">
      <x:c r="A18" s="40" t="str">
        <x:v>Project start</x:v>
      </x:c>
      <x:c r="B18" s="41" t="str">
        <x:v>Planning baseline</x:v>
      </x:c>
      <x:c r="C18" s="41" t="str">
        <x:v>Target completion</x:v>
      </x:c>
      <x:c r="D18" s="41" t="str">
        <x:v>Total timeline (days)</x:v>
      </x:c>
      <x:c r="E18" s="42" t="str">
        <x:v>Remaining from baseline (days)</x:v>
      </x:c>
    </x:row>
    <x:row r="19">
      <x:c r="A19" s="49" t="n">
        <x:f>D5</x:f>
        <x:v>45857</x:v>
      </x:c>
      <x:c r="B19" s="50" t="n">
        <x:v>46217</x:v>
      </x:c>
      <x:c r="C19" s="50" t="n">
        <x:f>E16</x:f>
        <x:v>46309</x:v>
      </x:c>
      <x:c r="D19" s="54" t="n">
        <x:f>C19-A19+1</x:f>
        <x:v>453</x:v>
      </x:c>
      <x:c r="E19" s="55" t="n">
        <x:f>C19-B19</x:f>
        <x:v>92</x:v>
      </x:c>
    </x:row>
  </x:sheetData>
  <x:mergeCells>
    <x:mergeCell ref="A1:H1"/>
    <x:mergeCell ref="A2:H2"/>
  </x:mergeCells>
  <x:conditionalFormatting sqref="G5:G16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ot Started"/>
    <x:cfRule type="containsText" dxfId="3" priority="4" operator="containsText" text="At Risk"/>
  </x:conditionalFormatting>
  <x:dataValidations count="1">
    <x:dataValidation type="list" sqref="G5:G16">
      <x:formula1>"Not Started,In Progress,Complete,At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c35410ad04f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>
      <x:c r="A1" s="3" t="str">
        <x:v>Planning Notes &amp; Assumptions</x:v>
      </x:c>
      <x:c r="B1" s="3"/>
      <x:c r="C1" s="3"/>
      <x:c r="D1" s="3"/>
      <x:c r="E1" s="3"/>
    </x:row>
    <x:row r="3" ht="33" customHeight="1">
      <x:c r="A3" s="69" t="str">
        <x:v>Item</x:v>
      </x:c>
      <x:c r="B3" s="69" t="str">
        <x:v>Draft assumption</x:v>
      </x:c>
    </x:row>
    <x:row r="4" ht="33" customHeight="1">
      <x:c r="A4" s="71" t="str">
        <x:v>Historical start</x:v>
      </x:c>
      <x:c r="B4" s="71" t="str">
        <x:v>19 July 2025, based on the earliest repository commit.</x:v>
      </x:c>
    </x:row>
    <x:row r="5" ht="33" customHeight="1">
      <x:c r="A5" s="71" t="str">
        <x:v>Planning baseline</x:v>
      </x:c>
      <x:c r="B5" s="71" t="str">
        <x:v>14 July 2026, the date this draft was prepared.</x:v>
      </x:c>
    </x:row>
    <x:row r="6" ht="33" customHeight="1">
      <x:c r="A6" s="71" t="str">
        <x:v>Current focus</x:v>
      </x:c>
      <x:c r="B6" s="71" t="str">
        <x:v>Vehicle/mobile testing, recorder reliability, media handling, and active location tracking. The remaining plan is compressed to three months.</x:v>
      </x:c>
    </x:row>
    <x:row r="7" ht="33" customHeight="1">
      <x:c r="A7" s="71" t="str">
        <x:v>Target completion</x:v>
      </x:c>
      <x:c r="B7" s="71" t="str">
        <x:v>14 October 2026, a fixed three-month deadline from the planning baseline. Scope must remain focused on release-critical work.</x:v>
      </x:c>
    </x:row>
    <x:row r="8" ht="33" customHeight="1">
      <x:c r="A8" s="71" t="str">
        <x:v>How to use</x:v>
      </x:c>
      <x:c r="B8" s="71" t="str">
        <x:v>Update Status, dates, and notes weekly. Escalate any item marked At Risk immediately to protect the fixed completion date.</x:v>
      </x:c>
    </x:row>
    <x:row r="10" ht="25" customHeight="1">
      <x:c r="A10" s="69" t="str">
        <x:v>Status</x:v>
      </x:c>
      <x:c r="B10" s="69" t="str">
        <x:v>Meaning</x:v>
      </x:c>
    </x:row>
    <x:row r="11" ht="25" customHeight="1">
      <x:c r="A11" s="70" t="str">
        <x:v>Not Started</x:v>
      </x:c>
      <x:c r="B11" s="70" t="str">
        <x:v>Scheduled work has not begun.</x:v>
      </x:c>
    </x:row>
    <x:row r="12" ht="25" customHeight="1">
      <x:c r="A12" s="70" t="str">
        <x:v>In Progress</x:v>
      </x:c>
      <x:c r="B12" s="70" t="str">
        <x:v>Active work is underway.</x:v>
      </x:c>
    </x:row>
    <x:row r="13" ht="25" customHeight="1">
      <x:c r="A13" s="70" t="str">
        <x:v>At Risk</x:v>
      </x:c>
      <x:c r="B13" s="70" t="str">
        <x:v>The target date may slip without corrective action.</x:v>
      </x:c>
    </x:row>
  </x:sheetData>
  <x:mergeCells>
    <x:mergeCell ref="A1:E1"/>
  </x:mergeCells>
  <x:pageMargins left="0.7" right="0.7" top="0.75" bottom="0.75" header="0.3" footer="0.3"/>
</x:worksheet>
</file>